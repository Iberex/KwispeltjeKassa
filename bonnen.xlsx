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Overzicht" state="visible" r:id="rId5"/>
    <sheet sheetId="3" name="Uitleg" state="visible" r:id="rId6"/>
  </sheets>
  <calcPr calcId="171027"/>
</workbook>
</file>

<file path=xl/sharedStrings.xml><?xml version="1.0" encoding="utf-8"?>
<sst xmlns="http://schemas.openxmlformats.org/spreadsheetml/2006/main" count="41" uniqueCount="36">
  <si>
    <t>Datum</t>
  </si>
  <si>
    <t>Week</t>
  </si>
  <si>
    <t>Thema</t>
  </si>
  <si>
    <t>Winkel</t>
  </si>
  <si>
    <t>Bedrag</t>
  </si>
  <si>
    <t>Omschrijving</t>
  </si>
  <si>
    <t>Ingescand</t>
  </si>
  <si>
    <t>Fingerprint</t>
  </si>
  <si>
    <t>Overzicht per week en thema</t>
  </si>
  <si>
    <t/>
  </si>
  <si>
    <t>Jungle</t>
  </si>
  <si>
    <t>Ruimte</t>
  </si>
  <si>
    <t>Piraten</t>
  </si>
  <si>
    <t>Middeleeuwen</t>
  </si>
  <si>
    <t>Superhelden</t>
  </si>
  <si>
    <t>TOTAAL</t>
  </si>
  <si>
    <t>Week 1 (7–11 jul)</t>
  </si>
  <si>
    <t>Week 2 (14–18 jul)</t>
  </si>
  <si>
    <t>Week 3 (21–25 jul)</t>
  </si>
  <si>
    <t>Week 4 (28 jul–1 aug)</t>
  </si>
  <si>
    <t>Week 5 (4–8 aug)</t>
  </si>
  <si>
    <t>Week 6 (11–15 aug)</t>
  </si>
  <si>
    <t>Speelplein-kassa — handleiding</t>
  </si>
  <si>
    <t>HOE WERKT HET?</t>
  </si>
  <si>
    <t>1. Open de scan-app op je telefoon (link ontvangen van de organisatie).</t>
  </si>
  <si>
    <t>2. Tik "Scan een bonnetje" en neem een foto van de kassabon.</t>
  </si>
  <si>
    <t>3. Controleer de ingevulde gegevens (datum, bedrag, winkel).</t>
  </si>
  <si>
    <t>4. Kies het juiste thema en de week.</t>
  </si>
  <si>
    <t>5. Tik "Bewaar in Excel" — de bon komt automatisch hier in het tabblad Data.</t>
  </si>
  <si>
    <t>DUBBELE BONNEN</t>
  </si>
  <si>
    <t>Als je dezelfde bon twee keer scant, krijg je een foutmelding. De bon wordt niet dubbel opgeslagen.</t>
  </si>
  <si>
    <t>OVERZICHT</t>
  </si>
  <si>
    <t>Tabblad Overzicht toont de totalen per week en per thema. Die berekent Excel automatisch.</t>
  </si>
  <si>
    <t>LET OP</t>
  </si>
  <si>
    <t>Verander de naam van de tabel (Bonnen) of de kolomtitels NIET.</t>
  </si>
  <si>
    <t>De app verwacht exact die namen.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</si>
</sst>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4F6EF7"/>
      <sz val="14"/>
    </font>
    <font>
      <b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4F6EF7"/>
      </patternFill>
    </fill>
    <fill>
      <patternFill patternType="solid">
        <fgColor rgb="FFF5F7FF"/>
      </patternFill>
    </fill>
    <fill>
      <patternFill patternType="solid">
        <fgColor rgb="FFFFFFFF"/>
      </patternFill>
    </fill>
    <fill>
      <patternFill patternType="solid">
        <fgColor rgb="FFE8EC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0" xfId="0" applyFont="1"/>
    <xf numFmtId="0" fontId="1" fillId="2" borderId="0" xfId="0" applyFont="1" applyFill="1" applyAlignment="1">
      <alignment horizontal="center"/>
    </xf>
    <xf numFmtId="0" fontId="3" fillId="0" borderId="0" xfId="0" applyFont="1"/>
    <xf numFmtId="164" fontId="0" fillId="3" borderId="0" xfId="0" applyNumberFormat="1" applyFill="1"/>
    <xf numFmtId="164" fontId="3" fillId="0" borderId="0" xfId="0" applyNumberFormat="1" applyFont="1"/>
    <xf numFmtId="164" fontId="0" fillId="4" borderId="0" xfId="0" applyNumberFormat="1" applyFill="1"/>
    <xf numFmtId="0" fontId="4" fillId="0" borderId="0" xfId="0" applyFont="1"/>
    <xf numFmtId="164" fontId="3" fillId="5" borderId="0" xfId="0" applyNumberFormat="1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Bonnen" displayName="Bonnen" ref="A1:H1" totalsRowShown="1" headerRowCount="1">
  <autoFilter ref="A1:H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Datum" totalsRowLabel="Total"/>
    <tableColumn id="2" name="Week" totalsRowFunction="none"/>
    <tableColumn id="3" name="Thema" totalsRowFunction="none"/>
    <tableColumn id="4" name="Winkel" totalsRowFunction="none"/>
    <tableColumn id="5" name="Bedrag" totalsRowFunction="none"/>
    <tableColumn id="6" name="Omschrijving" totalsRowFunction="none"/>
    <tableColumn id="7" name="Ingescand" totalsRowFunction="none"/>
    <tableColumn id="8" name="Fingerprint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4" customWidth="1"/>
    <col min="2" max="2" width="22" customWidth="1"/>
    <col min="3" max="3" width="16" customWidth="1"/>
    <col min="4" max="4" width="22" customWidth="1"/>
    <col min="5" max="5" width="12" style="1" customWidth="1"/>
    <col min="6" max="6" width="36" customWidth="1"/>
    <col min="7" max="7" width="18" customWidth="1"/>
    <col min="8" max="8" width="34" hidden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4" customWidth="1"/>
    <col min="2" max="6" width="16" customWidth="1"/>
    <col min="7" max="7" width="14" customWidth="1"/>
  </cols>
  <sheetData>
    <row r="1" ht="28" customHeight="1" spans="1:7" x14ac:dyDescent="0.25">
      <c r="A1" s="4" t="s">
        <v>8</v>
      </c>
      <c r="B1" s="4"/>
      <c r="C1" s="4"/>
      <c r="D1" s="4"/>
      <c r="E1" s="4"/>
      <c r="F1" s="4"/>
      <c r="G1" s="4"/>
    </row>
    <row r="2" ht="22" customHeight="1" spans="1:7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</row>
    <row r="3" spans="1:7" x14ac:dyDescent="0.25">
      <c r="A3" s="6" t="s">
        <v>16</v>
      </c>
      <c r="B3" s="7">
        <f>SUMIFS(Bonnen[Bedrag],Bonnen[Week],"Week 1 (7–11 jul)",Bonnen[Thema],"Jungle")</f>
      </c>
      <c r="C3" s="7">
        <f>SUMIFS(Bonnen[Bedrag],Bonnen[Week],"Week 1 (7–11 jul)",Bonnen[Thema],"Ruimte")</f>
      </c>
      <c r="D3" s="7">
        <f>SUMIFS(Bonnen[Bedrag],Bonnen[Week],"Week 1 (7–11 jul)",Bonnen[Thema],"Piraten")</f>
      </c>
      <c r="E3" s="7">
        <f>SUMIFS(Bonnen[Bedrag],Bonnen[Week],"Week 1 (7–11 jul)",Bonnen[Thema],"Middeleeuwen")</f>
      </c>
      <c r="F3" s="7">
        <f>SUMIFS(Bonnen[Bedrag],Bonnen[Week],"Week 1 (7–11 jul)",Bonnen[Thema],"Superhelden")</f>
      </c>
      <c r="G3" s="8">
        <f>SUM(B3:F3)</f>
      </c>
    </row>
    <row r="4" spans="1:7" x14ac:dyDescent="0.25">
      <c r="A4" s="6" t="s">
        <v>17</v>
      </c>
      <c r="B4" s="9">
        <f>SUMIFS(Bonnen[Bedrag],Bonnen[Week],"Week 2 (14–18 jul)",Bonnen[Thema],"Jungle")</f>
      </c>
      <c r="C4" s="9">
        <f>SUMIFS(Bonnen[Bedrag],Bonnen[Week],"Week 2 (14–18 jul)",Bonnen[Thema],"Ruimte")</f>
      </c>
      <c r="D4" s="9">
        <f>SUMIFS(Bonnen[Bedrag],Bonnen[Week],"Week 2 (14–18 jul)",Bonnen[Thema],"Piraten")</f>
      </c>
      <c r="E4" s="9">
        <f>SUMIFS(Bonnen[Bedrag],Bonnen[Week],"Week 2 (14–18 jul)",Bonnen[Thema],"Middeleeuwen")</f>
      </c>
      <c r="F4" s="9">
        <f>SUMIFS(Bonnen[Bedrag],Bonnen[Week],"Week 2 (14–18 jul)",Bonnen[Thema],"Superhelden")</f>
      </c>
      <c r="G4" s="8">
        <f>SUM(B4:F4)</f>
      </c>
    </row>
    <row r="5" spans="1:7" x14ac:dyDescent="0.25">
      <c r="A5" s="6" t="s">
        <v>18</v>
      </c>
      <c r="B5" s="7">
        <f>SUMIFS(Bonnen[Bedrag],Bonnen[Week],"Week 3 (21–25 jul)",Bonnen[Thema],"Jungle")</f>
      </c>
      <c r="C5" s="7">
        <f>SUMIFS(Bonnen[Bedrag],Bonnen[Week],"Week 3 (21–25 jul)",Bonnen[Thema],"Ruimte")</f>
      </c>
      <c r="D5" s="7">
        <f>SUMIFS(Bonnen[Bedrag],Bonnen[Week],"Week 3 (21–25 jul)",Bonnen[Thema],"Piraten")</f>
      </c>
      <c r="E5" s="7">
        <f>SUMIFS(Bonnen[Bedrag],Bonnen[Week],"Week 3 (21–25 jul)",Bonnen[Thema],"Middeleeuwen")</f>
      </c>
      <c r="F5" s="7">
        <f>SUMIFS(Bonnen[Bedrag],Bonnen[Week],"Week 3 (21–25 jul)",Bonnen[Thema],"Superhelden")</f>
      </c>
      <c r="G5" s="8">
        <f>SUM(B5:F5)</f>
      </c>
    </row>
    <row r="6" spans="1:7" x14ac:dyDescent="0.25">
      <c r="A6" s="6" t="s">
        <v>19</v>
      </c>
      <c r="B6" s="9">
        <f>SUMIFS(Bonnen[Bedrag],Bonnen[Week],"Week 4 (28 jul–1 aug)",Bonnen[Thema],"Jungle")</f>
      </c>
      <c r="C6" s="9">
        <f>SUMIFS(Bonnen[Bedrag],Bonnen[Week],"Week 4 (28 jul–1 aug)",Bonnen[Thema],"Ruimte")</f>
      </c>
      <c r="D6" s="9">
        <f>SUMIFS(Bonnen[Bedrag],Bonnen[Week],"Week 4 (28 jul–1 aug)",Bonnen[Thema],"Piraten")</f>
      </c>
      <c r="E6" s="9">
        <f>SUMIFS(Bonnen[Bedrag],Bonnen[Week],"Week 4 (28 jul–1 aug)",Bonnen[Thema],"Middeleeuwen")</f>
      </c>
      <c r="F6" s="9">
        <f>SUMIFS(Bonnen[Bedrag],Bonnen[Week],"Week 4 (28 jul–1 aug)",Bonnen[Thema],"Superhelden")</f>
      </c>
      <c r="G6" s="8">
        <f>SUM(B6:F6)</f>
      </c>
    </row>
    <row r="7" spans="1:7" x14ac:dyDescent="0.25">
      <c r="A7" s="6" t="s">
        <v>20</v>
      </c>
      <c r="B7" s="7">
        <f>SUMIFS(Bonnen[Bedrag],Bonnen[Week],"Week 5 (4–8 aug)",Bonnen[Thema],"Jungle")</f>
      </c>
      <c r="C7" s="7">
        <f>SUMIFS(Bonnen[Bedrag],Bonnen[Week],"Week 5 (4–8 aug)",Bonnen[Thema],"Ruimte")</f>
      </c>
      <c r="D7" s="7">
        <f>SUMIFS(Bonnen[Bedrag],Bonnen[Week],"Week 5 (4–8 aug)",Bonnen[Thema],"Piraten")</f>
      </c>
      <c r="E7" s="7">
        <f>SUMIFS(Bonnen[Bedrag],Bonnen[Week],"Week 5 (4–8 aug)",Bonnen[Thema],"Middeleeuwen")</f>
      </c>
      <c r="F7" s="7">
        <f>SUMIFS(Bonnen[Bedrag],Bonnen[Week],"Week 5 (4–8 aug)",Bonnen[Thema],"Superhelden")</f>
      </c>
      <c r="G7" s="8">
        <f>SUM(B7:F7)</f>
      </c>
    </row>
    <row r="8" spans="1:7" x14ac:dyDescent="0.25">
      <c r="A8" s="6" t="s">
        <v>21</v>
      </c>
      <c r="B8" s="9">
        <f>SUMIFS(Bonnen[Bedrag],Bonnen[Week],"Week 6 (11–15 aug)",Bonnen[Thema],"Jungle")</f>
      </c>
      <c r="C8" s="9">
        <f>SUMIFS(Bonnen[Bedrag],Bonnen[Week],"Week 6 (11–15 aug)",Bonnen[Thema],"Ruimte")</f>
      </c>
      <c r="D8" s="9">
        <f>SUMIFS(Bonnen[Bedrag],Bonnen[Week],"Week 6 (11–15 aug)",Bonnen[Thema],"Piraten")</f>
      </c>
      <c r="E8" s="9">
        <f>SUMIFS(Bonnen[Bedrag],Bonnen[Week],"Week 6 (11–15 aug)",Bonnen[Thema],"Middeleeuwen")</f>
      </c>
      <c r="F8" s="9">
        <f>SUMIFS(Bonnen[Bedrag],Bonnen[Week],"Week 6 (11–15 aug)",Bonnen[Thema],"Superhelden")</f>
      </c>
      <c r="G8" s="8">
        <f>SUM(B8:F8)</f>
      </c>
    </row>
    <row r="9" ht="24" customHeight="1" spans="1:7" x14ac:dyDescent="0.25">
      <c r="A9" s="10" t="s">
        <v>15</v>
      </c>
      <c r="B9" s="11">
        <f>SUM(B3:B8)</f>
      </c>
      <c r="C9" s="11">
        <f>SUM(C3:C8)</f>
      </c>
      <c r="D9" s="11">
        <f>SUM(D3:D8)</f>
      </c>
      <c r="E9" s="11">
        <f>SUM(E3:E8)</f>
      </c>
      <c r="F9" s="11">
        <f>SUM(F3:F8)</f>
      </c>
      <c r="G9" s="12">
        <f>SUM(B9:F9)</f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70" customWidth="1"/>
  </cols>
  <sheetData>
    <row r="1" ht="26" customHeight="1" spans="1:1" x14ac:dyDescent="0.25">
      <c r="A1" s="4" t="s">
        <v>22</v>
      </c>
    </row>
    <row r="2" spans="1:1" x14ac:dyDescent="0.25">
      <c r="A2" t="s">
        <v>9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9</v>
      </c>
    </row>
    <row r="10" spans="1:1" x14ac:dyDescent="0.25">
      <c r="A10" s="6" t="s">
        <v>29</v>
      </c>
    </row>
    <row r="11" spans="1:1" x14ac:dyDescent="0.25">
      <c r="A11" t="s">
        <v>30</v>
      </c>
    </row>
    <row r="12" spans="1:1" x14ac:dyDescent="0.25">
      <c r="A12" t="s">
        <v>9</v>
      </c>
    </row>
    <row r="13" spans="1:1" x14ac:dyDescent="0.25">
      <c r="A13" s="6" t="s">
        <v>31</v>
      </c>
    </row>
    <row r="14" spans="1:1" x14ac:dyDescent="0.25">
      <c r="A14" t="s">
        <v>32</v>
      </c>
    </row>
    <row r="15" spans="1:1" x14ac:dyDescent="0.25">
      <c r="A15" t="s">
        <v>9</v>
      </c>
    </row>
    <row r="16" spans="1:1" x14ac:dyDescent="0.25">
      <c r="A16" s="6" t="s">
        <v>33</v>
      </c>
    </row>
    <row r="17" spans="1:1" x14ac:dyDescent="0.25">
      <c r="A17" t="s">
        <v>34</v>
      </c>
    </row>
    <row r="18" spans="1:1" x14ac:dyDescent="0.25">
      <c r="A1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Overzicht</vt:lpstr>
      <vt:lpstr>Uitleg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Speelplein-kassa</dc:creator>
  <dc:title/>
  <dc:subject/>
  <dc:description/>
  <cp:keywords/>
  <cp:category/>
  <cp:lastModifiedBy>Unknown</cp:lastModifiedBy>
  <dcterms:created xsi:type="dcterms:W3CDTF">2026-06-29T20:36:42Z</dcterms:created>
  <dcterms:modified xsi:type="dcterms:W3CDTF">2026-06-29T20:36:42Z</dcterms:modified>
</cp:coreProperties>
</file>