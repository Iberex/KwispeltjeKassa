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Overzicht" state="visible" r:id="rId5"/>
    <sheet sheetId="3" name="Uitleg" state="visible" r:id="rId6"/>
  </sheets>
  <calcPr calcId="171027"/>
</workbook>
</file>

<file path=xl/sharedStrings.xml><?xml version="1.0" encoding="utf-8"?>
<sst xmlns="http://schemas.openxmlformats.org/spreadsheetml/2006/main" count="53" uniqueCount="40">
  <si>
    <t>Datum</t>
  </si>
  <si>
    <t>Week</t>
  </si>
  <si>
    <t>Winkel</t>
  </si>
  <si>
    <t>Voedsel</t>
  </si>
  <si>
    <t>Drank</t>
  </si>
  <si>
    <t>Alcohol</t>
  </si>
  <si>
    <t>Spelmateriaal</t>
  </si>
  <si>
    <t>Knutselgerief</t>
  </si>
  <si>
    <t>Kuisproducten</t>
  </si>
  <si>
    <t>Varia</t>
  </si>
  <si>
    <t>Totaal</t>
  </si>
  <si>
    <t>Fingerprint</t>
  </si>
  <si>
    <t>Overzicht per week en categorie</t>
  </si>
  <si>
    <t/>
  </si>
  <si>
    <t>TOTAAL</t>
  </si>
  <si>
    <t>Opbouw</t>
  </si>
  <si>
    <t>Week 1</t>
  </si>
  <si>
    <t>Week 2</t>
  </si>
  <si>
    <t>Week 3</t>
  </si>
  <si>
    <t>Week 4</t>
  </si>
  <si>
    <t>Week 5</t>
  </si>
  <si>
    <t>Week 6</t>
  </si>
  <si>
    <t>Week 7</t>
  </si>
  <si>
    <t>Afbraak</t>
  </si>
  <si>
    <t>Speelplein-kassa — handleiding</t>
  </si>
  <si>
    <t>HOE WERKT HET?</t>
  </si>
  <si>
    <t>1. Open de scan-app op je telefoon (link van de organisatie).</t>
  </si>
  <si>
    <t>2. Tik "Scan een bonnetje" en neem een foto van de kassabon.</t>
  </si>
  <si>
    <t>3. De AI leest elk artikel uit en kiest automatisch een categorie.</t>
  </si>
  <si>
    <t>4. Controleer de categorieën (tik erop om te wijzigen) en het totaal.</t>
  </si>
  <si>
    <t>5. Tik "Bewaar in Excel" — de bon komt automatisch in het tabblad Data.</t>
  </si>
  <si>
    <t>CATEGORIEËN</t>
  </si>
  <si>
    <t>Voedsel, Drank, Alcohol, Spelmateriaal, Knutselgerief, Kuisproducten, Varia.</t>
  </si>
  <si>
    <t>Het totaalbedrag wordt over deze categorie-kolommen verdeeld.</t>
  </si>
  <si>
    <t>DUBBELE BONNEN</t>
  </si>
  <si>
    <t>Dezelfde bon (winkel + datum + bedrag) twee keer scannen wordt geweigerd.</t>
  </si>
  <si>
    <t>OVERZICHT</t>
  </si>
  <si>
    <t>Tabblad Overzicht telt automatisch per week en per categorie op.</t>
  </si>
  <si>
    <t>LET OP</t>
  </si>
  <si>
    <t>Verander de tabelnaam (Bonnen) of de kolomtitels NIET.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</si>
</sst>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€#,##0.00"/>
  </numFmts>
  <fonts count="5" x14ac:knownFonts="1">
    <font>
      <color theme="1"/>
      <family val="2"/>
      <scheme val="minor"/>
      <sz val="11"/>
      <name val="Calibri"/>
    </font>
    <font>
      <b/>
      <color rgb="FF2F8F5B"/>
      <sz val="14"/>
    </font>
    <font>
      <b/>
      <color rgb="FFFFFFFF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2F8F5B"/>
      </patternFill>
    </fill>
    <fill>
      <patternFill patternType="solid">
        <fgColor rgb="FFF5F2EA"/>
      </patternFill>
    </fill>
    <fill>
      <patternFill patternType="solid">
        <fgColor rgb="FFE6F2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3" fillId="0" borderId="0" xfId="0" applyFont="1"/>
    <xf numFmtId="164" fontId="0" fillId="3" borderId="0" xfId="0" applyNumberFormat="1" applyFill="1"/>
    <xf numFmtId="164" fontId="3" fillId="0" borderId="0" xfId="0" applyNumberFormat="1" applyFont="1"/>
    <xf numFmtId="0" fontId="4" fillId="0" borderId="0" xfId="0" applyFont="1"/>
    <xf numFmtId="164" fontId="3" fillId="4" borderId="0" xfId="0" applyNumberFormat="1" applyFont="1" applyFill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Bonnen" displayName="Bonnen" ref="A1:L1" totalsRowShown="1" headerRowCount="1">
  <autoFilter ref="A1:L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Datum" totalsRowLabel="Total"/>
    <tableColumn id="2" name="Week" totalsRowFunction="none"/>
    <tableColumn id="3" name="Winkel" totalsRowFunction="none"/>
    <tableColumn id="4" name="Voedsel" totalsRowFunction="none"/>
    <tableColumn id="5" name="Drank" totalsRowFunction="none"/>
    <tableColumn id="6" name="Alcohol" totalsRowFunction="none"/>
    <tableColumn id="7" name="Spelmateriaal" totalsRowFunction="none"/>
    <tableColumn id="8" name="Knutselgerief" totalsRowFunction="none"/>
    <tableColumn id="9" name="Kuisproducten" totalsRowFunction="none"/>
    <tableColumn id="10" name="Varia" totalsRowFunction="none"/>
    <tableColumn id="11" name="Totaal" totalsRowFunction="none"/>
    <tableColumn id="12" name="Fingerprint" totalsRowFunction="no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1" width="13" customWidth="1"/>
    <col min="2" max="2" width="14" customWidth="1"/>
    <col min="3" max="3" width="22" customWidth="1"/>
    <col min="4" max="11" width="14" style="1" customWidth="1"/>
    <col min="12" max="12" width="34" hidden="1" customWidth="1"/>
  </cols>
  <sheetData>
    <row r="1" spans="1:12" x14ac:dyDescent="0.25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FormatPr defaultRowHeight="15" outlineLevelRow="0" outlineLevelCol="0" x14ac:dyDescent="55"/>
  <cols>
    <col min="1" max="9" width="14" customWidth="1"/>
  </cols>
  <sheetData>
    <row r="1" ht="28" customHeight="1" spans="1:9" x14ac:dyDescent="0.25">
      <c r="A1" s="2" t="s">
        <v>12</v>
      </c>
      <c r="B1" s="2"/>
      <c r="C1" s="2"/>
      <c r="D1" s="2"/>
      <c r="E1" s="2"/>
      <c r="F1" s="2"/>
      <c r="G1" s="2"/>
      <c r="H1" s="2"/>
      <c r="I1" s="2"/>
    </row>
    <row r="2" ht="30" customHeight="1" spans="1:9" x14ac:dyDescent="0.25">
      <c r="A2" s="3" t="s">
        <v>13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</row>
    <row r="3" spans="1:9" x14ac:dyDescent="0.25">
      <c r="A3" s="4" t="s">
        <v>15</v>
      </c>
      <c r="B3" s="5">
        <f>SUMIFS(Bonnen[Voedsel],Bonnen[Week],"Opbouw")</f>
      </c>
      <c r="C3" s="5">
        <f>SUMIFS(Bonnen[Drank],Bonnen[Week],"Opbouw")</f>
      </c>
      <c r="D3" s="5">
        <f>SUMIFS(Bonnen[Alcohol],Bonnen[Week],"Opbouw")</f>
      </c>
      <c r="E3" s="5">
        <f>SUMIFS(Bonnen[Spelmateriaal],Bonnen[Week],"Opbouw")</f>
      </c>
      <c r="F3" s="5">
        <f>SUMIFS(Bonnen[Knutselgerief],Bonnen[Week],"Opbouw")</f>
      </c>
      <c r="G3" s="5">
        <f>SUMIFS(Bonnen[Kuisproducten],Bonnen[Week],"Opbouw")</f>
      </c>
      <c r="H3" s="5">
        <f>SUMIFS(Bonnen[Varia],Bonnen[Week],"Opbouw")</f>
      </c>
      <c r="I3" s="6">
        <f>SUM(B3:H3)</f>
      </c>
    </row>
    <row r="4" spans="1:9" x14ac:dyDescent="0.25">
      <c r="A4" s="4" t="s">
        <v>16</v>
      </c>
      <c r="B4" s="1">
        <f>SUMIFS(Bonnen[Voedsel],Bonnen[Week],"Week 1")</f>
      </c>
      <c r="C4" s="1">
        <f>SUMIFS(Bonnen[Drank],Bonnen[Week],"Week 1")</f>
      </c>
      <c r="D4" s="1">
        <f>SUMIFS(Bonnen[Alcohol],Bonnen[Week],"Week 1")</f>
      </c>
      <c r="E4" s="1">
        <f>SUMIFS(Bonnen[Spelmateriaal],Bonnen[Week],"Week 1")</f>
      </c>
      <c r="F4" s="1">
        <f>SUMIFS(Bonnen[Knutselgerief],Bonnen[Week],"Week 1")</f>
      </c>
      <c r="G4" s="1">
        <f>SUMIFS(Bonnen[Kuisproducten],Bonnen[Week],"Week 1")</f>
      </c>
      <c r="H4" s="1">
        <f>SUMIFS(Bonnen[Varia],Bonnen[Week],"Week 1")</f>
      </c>
      <c r="I4" s="6">
        <f>SUM(B4:H4)</f>
      </c>
    </row>
    <row r="5" spans="1:9" x14ac:dyDescent="0.25">
      <c r="A5" s="4" t="s">
        <v>17</v>
      </c>
      <c r="B5" s="5">
        <f>SUMIFS(Bonnen[Voedsel],Bonnen[Week],"Week 2")</f>
      </c>
      <c r="C5" s="5">
        <f>SUMIFS(Bonnen[Drank],Bonnen[Week],"Week 2")</f>
      </c>
      <c r="D5" s="5">
        <f>SUMIFS(Bonnen[Alcohol],Bonnen[Week],"Week 2")</f>
      </c>
      <c r="E5" s="5">
        <f>SUMIFS(Bonnen[Spelmateriaal],Bonnen[Week],"Week 2")</f>
      </c>
      <c r="F5" s="5">
        <f>SUMIFS(Bonnen[Knutselgerief],Bonnen[Week],"Week 2")</f>
      </c>
      <c r="G5" s="5">
        <f>SUMIFS(Bonnen[Kuisproducten],Bonnen[Week],"Week 2")</f>
      </c>
      <c r="H5" s="5">
        <f>SUMIFS(Bonnen[Varia],Bonnen[Week],"Week 2")</f>
      </c>
      <c r="I5" s="6">
        <f>SUM(B5:H5)</f>
      </c>
    </row>
    <row r="6" spans="1:9" x14ac:dyDescent="0.25">
      <c r="A6" s="4" t="s">
        <v>18</v>
      </c>
      <c r="B6" s="1">
        <f>SUMIFS(Bonnen[Voedsel],Bonnen[Week],"Week 3")</f>
      </c>
      <c r="C6" s="1">
        <f>SUMIFS(Bonnen[Drank],Bonnen[Week],"Week 3")</f>
      </c>
      <c r="D6" s="1">
        <f>SUMIFS(Bonnen[Alcohol],Bonnen[Week],"Week 3")</f>
      </c>
      <c r="E6" s="1">
        <f>SUMIFS(Bonnen[Spelmateriaal],Bonnen[Week],"Week 3")</f>
      </c>
      <c r="F6" s="1">
        <f>SUMIFS(Bonnen[Knutselgerief],Bonnen[Week],"Week 3")</f>
      </c>
      <c r="G6" s="1">
        <f>SUMIFS(Bonnen[Kuisproducten],Bonnen[Week],"Week 3")</f>
      </c>
      <c r="H6" s="1">
        <f>SUMIFS(Bonnen[Varia],Bonnen[Week],"Week 3")</f>
      </c>
      <c r="I6" s="6">
        <f>SUM(B6:H6)</f>
      </c>
    </row>
    <row r="7" spans="1:9" x14ac:dyDescent="0.25">
      <c r="A7" s="4" t="s">
        <v>19</v>
      </c>
      <c r="B7" s="5">
        <f>SUMIFS(Bonnen[Voedsel],Bonnen[Week],"Week 4")</f>
      </c>
      <c r="C7" s="5">
        <f>SUMIFS(Bonnen[Drank],Bonnen[Week],"Week 4")</f>
      </c>
      <c r="D7" s="5">
        <f>SUMIFS(Bonnen[Alcohol],Bonnen[Week],"Week 4")</f>
      </c>
      <c r="E7" s="5">
        <f>SUMIFS(Bonnen[Spelmateriaal],Bonnen[Week],"Week 4")</f>
      </c>
      <c r="F7" s="5">
        <f>SUMIFS(Bonnen[Knutselgerief],Bonnen[Week],"Week 4")</f>
      </c>
      <c r="G7" s="5">
        <f>SUMIFS(Bonnen[Kuisproducten],Bonnen[Week],"Week 4")</f>
      </c>
      <c r="H7" s="5">
        <f>SUMIFS(Bonnen[Varia],Bonnen[Week],"Week 4")</f>
      </c>
      <c r="I7" s="6">
        <f>SUM(B7:H7)</f>
      </c>
    </row>
    <row r="8" spans="1:9" x14ac:dyDescent="0.25">
      <c r="A8" s="4" t="s">
        <v>20</v>
      </c>
      <c r="B8" s="1">
        <f>SUMIFS(Bonnen[Voedsel],Bonnen[Week],"Week 5")</f>
      </c>
      <c r="C8" s="1">
        <f>SUMIFS(Bonnen[Drank],Bonnen[Week],"Week 5")</f>
      </c>
      <c r="D8" s="1">
        <f>SUMIFS(Bonnen[Alcohol],Bonnen[Week],"Week 5")</f>
      </c>
      <c r="E8" s="1">
        <f>SUMIFS(Bonnen[Spelmateriaal],Bonnen[Week],"Week 5")</f>
      </c>
      <c r="F8" s="1">
        <f>SUMIFS(Bonnen[Knutselgerief],Bonnen[Week],"Week 5")</f>
      </c>
      <c r="G8" s="1">
        <f>SUMIFS(Bonnen[Kuisproducten],Bonnen[Week],"Week 5")</f>
      </c>
      <c r="H8" s="1">
        <f>SUMIFS(Bonnen[Varia],Bonnen[Week],"Week 5")</f>
      </c>
      <c r="I8" s="6">
        <f>SUM(B8:H8)</f>
      </c>
    </row>
    <row r="9" spans="1:9" x14ac:dyDescent="0.25">
      <c r="A9" s="4" t="s">
        <v>21</v>
      </c>
      <c r="B9" s="5">
        <f>SUMIFS(Bonnen[Voedsel],Bonnen[Week],"Week 6")</f>
      </c>
      <c r="C9" s="5">
        <f>SUMIFS(Bonnen[Drank],Bonnen[Week],"Week 6")</f>
      </c>
      <c r="D9" s="5">
        <f>SUMIFS(Bonnen[Alcohol],Bonnen[Week],"Week 6")</f>
      </c>
      <c r="E9" s="5">
        <f>SUMIFS(Bonnen[Spelmateriaal],Bonnen[Week],"Week 6")</f>
      </c>
      <c r="F9" s="5">
        <f>SUMIFS(Bonnen[Knutselgerief],Bonnen[Week],"Week 6")</f>
      </c>
      <c r="G9" s="5">
        <f>SUMIFS(Bonnen[Kuisproducten],Bonnen[Week],"Week 6")</f>
      </c>
      <c r="H9" s="5">
        <f>SUMIFS(Bonnen[Varia],Bonnen[Week],"Week 6")</f>
      </c>
      <c r="I9" s="6">
        <f>SUM(B9:H9)</f>
      </c>
    </row>
    <row r="10" spans="1:9" x14ac:dyDescent="0.25">
      <c r="A10" s="4" t="s">
        <v>22</v>
      </c>
      <c r="B10" s="1">
        <f>SUMIFS(Bonnen[Voedsel],Bonnen[Week],"Week 7")</f>
      </c>
      <c r="C10" s="1">
        <f>SUMIFS(Bonnen[Drank],Bonnen[Week],"Week 7")</f>
      </c>
      <c r="D10" s="1">
        <f>SUMIFS(Bonnen[Alcohol],Bonnen[Week],"Week 7")</f>
      </c>
      <c r="E10" s="1">
        <f>SUMIFS(Bonnen[Spelmateriaal],Bonnen[Week],"Week 7")</f>
      </c>
      <c r="F10" s="1">
        <f>SUMIFS(Bonnen[Knutselgerief],Bonnen[Week],"Week 7")</f>
      </c>
      <c r="G10" s="1">
        <f>SUMIFS(Bonnen[Kuisproducten],Bonnen[Week],"Week 7")</f>
      </c>
      <c r="H10" s="1">
        <f>SUMIFS(Bonnen[Varia],Bonnen[Week],"Week 7")</f>
      </c>
      <c r="I10" s="6">
        <f>SUM(B10:H10)</f>
      </c>
    </row>
    <row r="11" spans="1:9" x14ac:dyDescent="0.25">
      <c r="A11" s="4" t="s">
        <v>23</v>
      </c>
      <c r="B11" s="5">
        <f>SUMIFS(Bonnen[Voedsel],Bonnen[Week],"Afbraak")</f>
      </c>
      <c r="C11" s="5">
        <f>SUMIFS(Bonnen[Drank],Bonnen[Week],"Afbraak")</f>
      </c>
      <c r="D11" s="5">
        <f>SUMIFS(Bonnen[Alcohol],Bonnen[Week],"Afbraak")</f>
      </c>
      <c r="E11" s="5">
        <f>SUMIFS(Bonnen[Spelmateriaal],Bonnen[Week],"Afbraak")</f>
      </c>
      <c r="F11" s="5">
        <f>SUMIFS(Bonnen[Knutselgerief],Bonnen[Week],"Afbraak")</f>
      </c>
      <c r="G11" s="5">
        <f>SUMIFS(Bonnen[Kuisproducten],Bonnen[Week],"Afbraak")</f>
      </c>
      <c r="H11" s="5">
        <f>SUMIFS(Bonnen[Varia],Bonnen[Week],"Afbraak")</f>
      </c>
      <c r="I11" s="6">
        <f>SUM(B11:H11)</f>
      </c>
    </row>
    <row r="12" ht="24" customHeight="1" spans="1:9" x14ac:dyDescent="0.25">
      <c r="A12" s="7" t="s">
        <v>14</v>
      </c>
      <c r="B12" s="8">
        <f>SUM(B3:B11)</f>
      </c>
      <c r="C12" s="8">
        <f>SUM(C3:C11)</f>
      </c>
      <c r="D12" s="8">
        <f>SUM(D3:D11)</f>
      </c>
      <c r="E12" s="8">
        <f>SUM(E3:E11)</f>
      </c>
      <c r="F12" s="8">
        <f>SUM(F3:F11)</f>
      </c>
      <c r="G12" s="8">
        <f>SUM(G3:G11)</f>
      </c>
      <c r="H12" s="8">
        <f>SUM(H3:H11)</f>
      </c>
      <c r="I12" s="9">
        <f>SUM(B12:H12)</f>
      </c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78" customWidth="1"/>
  </cols>
  <sheetData>
    <row r="1" ht="26" customHeight="1" spans="1:1" x14ac:dyDescent="0.25">
      <c r="A1" s="2" t="s">
        <v>24</v>
      </c>
    </row>
    <row r="2" spans="1:1" x14ac:dyDescent="0.25">
      <c r="A2" t="s">
        <v>13</v>
      </c>
    </row>
    <row r="3" spans="1:1" x14ac:dyDescent="0.25">
      <c r="A3" t="s">
        <v>25</v>
      </c>
    </row>
    <row r="4" spans="1:1" x14ac:dyDescent="0.25">
      <c r="A4" t="s">
        <v>26</v>
      </c>
    </row>
    <row r="5" spans="1:1" x14ac:dyDescent="0.25">
      <c r="A5" t="s">
        <v>27</v>
      </c>
    </row>
    <row r="6" spans="1:1" x14ac:dyDescent="0.25">
      <c r="A6" t="s">
        <v>28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13</v>
      </c>
    </row>
    <row r="10" spans="1:1" x14ac:dyDescent="0.25">
      <c r="A10" s="4" t="s">
        <v>31</v>
      </c>
    </row>
    <row r="11" spans="1:1" x14ac:dyDescent="0.25">
      <c r="A11" t="s">
        <v>32</v>
      </c>
    </row>
    <row r="12" spans="1:1" x14ac:dyDescent="0.25">
      <c r="A12" t="s">
        <v>33</v>
      </c>
    </row>
    <row r="13" spans="1:1" x14ac:dyDescent="0.25">
      <c r="A13" t="s">
        <v>13</v>
      </c>
    </row>
    <row r="14" spans="1:1" x14ac:dyDescent="0.25">
      <c r="A14" s="4" t="s">
        <v>34</v>
      </c>
    </row>
    <row r="15" spans="1:1" x14ac:dyDescent="0.25">
      <c r="A15" t="s">
        <v>35</v>
      </c>
    </row>
    <row r="16" spans="1:1" x14ac:dyDescent="0.25">
      <c r="A16" t="s">
        <v>13</v>
      </c>
    </row>
    <row r="17" spans="1:1" x14ac:dyDescent="0.25">
      <c r="A17" s="4" t="s">
        <v>36</v>
      </c>
    </row>
    <row r="18" spans="1:1" x14ac:dyDescent="0.25">
      <c r="A18" t="s">
        <v>37</v>
      </c>
    </row>
    <row r="19" spans="1:1" x14ac:dyDescent="0.25">
      <c r="A19" t="s">
        <v>13</v>
      </c>
    </row>
    <row r="20" spans="1:1" x14ac:dyDescent="0.25">
      <c r="A20" s="4" t="s">
        <v>38</v>
      </c>
    </row>
    <row r="21" spans="1:1" x14ac:dyDescent="0.25">
      <c r="A21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Overzicht</vt:lpstr>
      <vt:lpstr>Uitleg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Speelplein-kassa</dc:creator>
  <dc:title/>
  <dc:subject/>
  <dc:description/>
  <cp:keywords/>
  <cp:category/>
  <cp:lastModifiedBy>Unknown</cp:lastModifiedBy>
  <dcterms:created xsi:type="dcterms:W3CDTF">2026-06-29T21:37:47Z</dcterms:created>
  <dcterms:modified xsi:type="dcterms:W3CDTF">2026-06-29T21:37:47Z</dcterms:modified>
</cp:coreProperties>
</file>